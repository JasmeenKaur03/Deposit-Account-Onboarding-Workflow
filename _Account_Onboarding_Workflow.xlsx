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Register" sheetId="1" state="visible" r:id="rId3"/>
    <sheet name="SLA Tracker" sheetId="2" state="visible" r:id="rId4"/>
    <sheet name="Dashboard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<sst xmlns="http://schemas.openxmlformats.org/spreadsheetml/2006/main" count="497" uniqueCount="131">
  <si>
    <t xml:space="preserve">Harwell Financial — Deposit Account Onboarding Register (July 2025)</t>
  </si>
  <si>
    <t xml:space="preserve">App ID</t>
  </si>
  <si>
    <t xml:space="preserve">Date Received</t>
  </si>
  <si>
    <t xml:space="preserve">Customer Name</t>
  </si>
  <si>
    <t xml:space="preserve">Account Type</t>
  </si>
  <si>
    <t xml:space="preserve">Product Name</t>
  </si>
  <si>
    <t xml:space="preserve">Documents Submitted</t>
  </si>
  <si>
    <t xml:space="preserve">KYC Status</t>
  </si>
  <si>
    <t xml:space="preserve">Account Created</t>
  </si>
  <si>
    <t xml:space="preserve">Welcome Email Sent</t>
  </si>
  <si>
    <t xml:space="preserve">Assigned Officer</t>
  </si>
  <si>
    <t xml:space="preserve">Overall Status</t>
  </si>
  <si>
    <t xml:space="preserve">APP-2000</t>
  </si>
  <si>
    <t xml:space="preserve">14-Jul-2025</t>
  </si>
  <si>
    <t xml:space="preserve">Zara Ahmed</t>
  </si>
  <si>
    <t xml:space="preserve">Fixed Term Deposit</t>
  </si>
  <si>
    <t xml:space="preserve">Harwell 1-Year Fixed</t>
  </si>
  <si>
    <t xml:space="preserve">Incomplete</t>
  </si>
  <si>
    <t xml:space="preserve">Verified</t>
  </si>
  <si>
    <t xml:space="preserve">No</t>
  </si>
  <si>
    <t xml:space="preserve">Yes</t>
  </si>
  <si>
    <t xml:space="preserve">T. Adeyemi</t>
  </si>
  <si>
    <t xml:space="preserve">Rejected</t>
  </si>
  <si>
    <t xml:space="preserve">APP-2001</t>
  </si>
  <si>
    <t xml:space="preserve">17-Jul-2025</t>
  </si>
  <si>
    <t xml:space="preserve">Nadia Petrov</t>
  </si>
  <si>
    <t xml:space="preserve">Complete</t>
  </si>
  <si>
    <t xml:space="preserve">L. Chen</t>
  </si>
  <si>
    <t xml:space="preserve">On Hold</t>
  </si>
  <si>
    <t xml:space="preserve">APP-2002</t>
  </si>
  <si>
    <t xml:space="preserve">05-Jul-2025</t>
  </si>
  <si>
    <t xml:space="preserve">Nina Patel</t>
  </si>
  <si>
    <t xml:space="preserve">Easy Access Savings</t>
  </si>
  <si>
    <t xml:space="preserve">Harwell Easy Access</t>
  </si>
  <si>
    <t xml:space="preserve">APP-2003</t>
  </si>
  <si>
    <t xml:space="preserve">02-Jul-2025</t>
  </si>
  <si>
    <t xml:space="preserve">Mei Lin</t>
  </si>
  <si>
    <t xml:space="preserve">95-Day Notice</t>
  </si>
  <si>
    <t xml:space="preserve">Harwell 180-Day Notice</t>
  </si>
  <si>
    <t xml:space="preserve">Pending</t>
  </si>
  <si>
    <t xml:space="preserve">Failed</t>
  </si>
  <si>
    <t xml:space="preserve">R. Mehta</t>
  </si>
  <si>
    <t xml:space="preserve">Completed</t>
  </si>
  <si>
    <t xml:space="preserve">APP-2004</t>
  </si>
  <si>
    <t xml:space="preserve">04-Jul-2025</t>
  </si>
  <si>
    <t xml:space="preserve">Priya Sharma</t>
  </si>
  <si>
    <t xml:space="preserve">APP-2005</t>
  </si>
  <si>
    <t xml:space="preserve">06-Jul-2025</t>
  </si>
  <si>
    <t xml:space="preserve">Ben Williams</t>
  </si>
  <si>
    <t xml:space="preserve">S. Khan</t>
  </si>
  <si>
    <t xml:space="preserve">APP-2006</t>
  </si>
  <si>
    <t xml:space="preserve">24-Jul-2025</t>
  </si>
  <si>
    <t xml:space="preserve">Fatima Al-Hassan</t>
  </si>
  <si>
    <t xml:space="preserve">180-Day Notice</t>
  </si>
  <si>
    <t xml:space="preserve">Harwell 2-Year Fixed</t>
  </si>
  <si>
    <t xml:space="preserve">In Progress</t>
  </si>
  <si>
    <t xml:space="preserve">APP-2007</t>
  </si>
  <si>
    <t xml:space="preserve">Samuel Osei</t>
  </si>
  <si>
    <t xml:space="preserve">Notice Account</t>
  </si>
  <si>
    <t xml:space="preserve">Harwell 95-Day Notice</t>
  </si>
  <si>
    <t xml:space="preserve">APP-2008</t>
  </si>
  <si>
    <t xml:space="preserve">16-Jul-2025</t>
  </si>
  <si>
    <t xml:space="preserve">Aisha Nwosu</t>
  </si>
  <si>
    <t xml:space="preserve">APP-2009</t>
  </si>
  <si>
    <t xml:space="preserve">03-Jul-2025</t>
  </si>
  <si>
    <t xml:space="preserve">APP-2010</t>
  </si>
  <si>
    <t xml:space="preserve">20-Jul-2025</t>
  </si>
  <si>
    <t xml:space="preserve">Raj Patel</t>
  </si>
  <si>
    <t xml:space="preserve">P. Sharma</t>
  </si>
  <si>
    <t xml:space="preserve">APP-2011</t>
  </si>
  <si>
    <t xml:space="preserve">08-Jul-2025</t>
  </si>
  <si>
    <t xml:space="preserve">APP-2012</t>
  </si>
  <si>
    <t xml:space="preserve">22-Jul-2025</t>
  </si>
  <si>
    <t xml:space="preserve">APP-2013</t>
  </si>
  <si>
    <t xml:space="preserve">APP-2014</t>
  </si>
  <si>
    <t xml:space="preserve">25-Jul-2025</t>
  </si>
  <si>
    <t xml:space="preserve">Luke Johnson</t>
  </si>
  <si>
    <t xml:space="preserve">APP-2015</t>
  </si>
  <si>
    <t xml:space="preserve">David Kim</t>
  </si>
  <si>
    <t xml:space="preserve">APP-2016</t>
  </si>
  <si>
    <t xml:space="preserve">Ananya Singh</t>
  </si>
  <si>
    <t xml:space="preserve">APP-2017</t>
  </si>
  <si>
    <t xml:space="preserve">12-Jul-2025</t>
  </si>
  <si>
    <t xml:space="preserve">Leo Müller</t>
  </si>
  <si>
    <t xml:space="preserve">APP-2018</t>
  </si>
  <si>
    <t xml:space="preserve">19-Jul-2025</t>
  </si>
  <si>
    <t xml:space="preserve">APP-2019</t>
  </si>
  <si>
    <t xml:space="preserve">11-Jul-2025</t>
  </si>
  <si>
    <t xml:space="preserve">Harpreet Kaur</t>
  </si>
  <si>
    <t xml:space="preserve">APP-2020</t>
  </si>
  <si>
    <t xml:space="preserve">APP-2021</t>
  </si>
  <si>
    <t xml:space="preserve">28-Jul-2025</t>
  </si>
  <si>
    <t xml:space="preserve">APP-2022</t>
  </si>
  <si>
    <t xml:space="preserve">APP-2023</t>
  </si>
  <si>
    <t xml:space="preserve">APP-2024</t>
  </si>
  <si>
    <t xml:space="preserve">Grace Wong</t>
  </si>
  <si>
    <t xml:space="preserve">Harwell Financial — SLA Compliance Tracker | Target: 48-Hour Processing (July 2025)</t>
  </si>
  <si>
    <t xml:space="preserve">SLA Deadline (48hr)</t>
  </si>
  <si>
    <t xml:space="preserve">Date Completed</t>
  </si>
  <si>
    <t xml:space="preserve">Hours Taken</t>
  </si>
  <si>
    <t xml:space="preserve">SLA Met?</t>
  </si>
  <si>
    <t xml:space="preserve">Breach Reason</t>
  </si>
  <si>
    <t xml:space="preserve">Mohammed Ali</t>
  </si>
  <si>
    <t xml:space="preserve">13-Jul-2025</t>
  </si>
  <si>
    <t xml:space="preserve">15-Jul-2025</t>
  </si>
  <si>
    <t xml:space="preserve">10-Jul-2025</t>
  </si>
  <si>
    <t xml:space="preserve">09-Jul-2025</t>
  </si>
  <si>
    <t xml:space="preserve">26-Jul-2025</t>
  </si>
  <si>
    <t xml:space="preserve">21-Jul-2025</t>
  </si>
  <si>
    <t xml:space="preserve">System Downtime</t>
  </si>
  <si>
    <t xml:space="preserve">Incomplete Documents</t>
  </si>
  <si>
    <t xml:space="preserve">Emma Clarke</t>
  </si>
  <si>
    <t xml:space="preserve">23-Jul-2025</t>
  </si>
  <si>
    <t xml:space="preserve">KYC Delay</t>
  </si>
  <si>
    <t xml:space="preserve">01-Jul-2025</t>
  </si>
  <si>
    <t xml:space="preserve">07-Jul-2025</t>
  </si>
  <si>
    <t xml:space="preserve">James O'Brien</t>
  </si>
  <si>
    <t xml:space="preserve">27-Jul-2025</t>
  </si>
  <si>
    <t xml:space="preserve">Oliver Grant</t>
  </si>
  <si>
    <t xml:space="preserve">Robert Hughes</t>
  </si>
  <si>
    <t xml:space="preserve">Awaiting Customer Response</t>
  </si>
  <si>
    <t xml:space="preserve">18-Jul-2025</t>
  </si>
  <si>
    <t xml:space="preserve">Harwell Financial — Onboarding Operations Dashboard (July 2025)</t>
  </si>
  <si>
    <t xml:space="preserve">Total Applications</t>
  </si>
  <si>
    <t xml:space="preserve">On Hold / Rejected</t>
  </si>
  <si>
    <t xml:space="preserve">SLA Compliance Rate</t>
  </si>
  <si>
    <t xml:space="preserve">Avg Processing (hrs)</t>
  </si>
  <si>
    <t xml:space="preserve">Applications</t>
  </si>
  <si>
    <t xml:space="preserve">SLA Met</t>
  </si>
  <si>
    <t xml:space="preserve">Completion Rate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</si>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</sst>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8"/>
      <color rgb="FF4A148C"/>
      <name val="Arial"/>
      <family val="0"/>
      <charset val="1"/>
    </font>
    <font>
      <b val="true"/>
      <sz val="13"/>
      <color rgb="FF4A148C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4A148C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A148C"/>
        <bgColor rgb="FF7B1FA2"/>
      </patternFill>
    </fill>
    <fill>
      <patternFill patternType="solid">
        <fgColor rgb="FF7B1FA2"/>
        <bgColor rgb="FF800080"/>
      </patternFill>
    </fill>
    <fill>
      <patternFill patternType="solid">
        <fgColor rgb="FFFFFFFF"/>
        <bgColor rgb="FFFFF2CC"/>
      </patternFill>
    </fill>
    <fill>
      <patternFill patternType="solid">
        <fgColor rgb="FFF3E5F5"/>
        <bgColor rgb="FFFCE4D6"/>
      </patternFill>
    </fill>
    <fill>
      <patternFill patternType="solid">
        <fgColor rgb="FFE2EFDA"/>
        <bgColor rgb="FFF3E5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color rgb="FF1F4E79"/>
        <sz val="9"/>
      </font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7B1FA2"/>
      <rgbColor rgb="FF008080"/>
      <rgbColor rgb="FFBFBFBF"/>
      <rgbColor rgb="FF808080"/>
      <rgbColor rgb="FF9999FF"/>
      <rgbColor rgb="FF993366"/>
      <rgbColor rgb="FFFFF2CC"/>
      <rgbColor rgb="FFE2EFDA"/>
      <rgbColor rgb="FF4A148C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5F5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1" min="10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.75" hidden="false" customHeight="true" outlineLevel="0" collapsed="false">
      <c r="A3" s="3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customFormat="false" ht="15.75" hidden="false" customHeight="true" outlineLevel="0" collapsed="false">
      <c r="A4" s="5" t="s">
        <v>23</v>
      </c>
      <c r="B4" s="5" t="s">
        <v>24</v>
      </c>
      <c r="C4" s="6" t="s">
        <v>25</v>
      </c>
      <c r="D4" s="5" t="s">
        <v>15</v>
      </c>
      <c r="E4" s="5" t="s">
        <v>16</v>
      </c>
      <c r="F4" s="5" t="s">
        <v>26</v>
      </c>
      <c r="G4" s="5" t="s">
        <v>18</v>
      </c>
      <c r="H4" s="5" t="s">
        <v>20</v>
      </c>
      <c r="I4" s="5" t="s">
        <v>19</v>
      </c>
      <c r="J4" s="5" t="s">
        <v>27</v>
      </c>
      <c r="K4" s="5" t="s">
        <v>28</v>
      </c>
    </row>
    <row r="5" customFormat="false" ht="15.75" hidden="false" customHeight="true" outlineLevel="0" collapsed="false">
      <c r="A5" s="3" t="s">
        <v>29</v>
      </c>
      <c r="B5" s="3" t="s">
        <v>30</v>
      </c>
      <c r="C5" s="4" t="s">
        <v>31</v>
      </c>
      <c r="D5" s="3" t="s">
        <v>32</v>
      </c>
      <c r="E5" s="3" t="s">
        <v>33</v>
      </c>
      <c r="F5" s="3" t="s">
        <v>26</v>
      </c>
      <c r="G5" s="3" t="s">
        <v>18</v>
      </c>
      <c r="H5" s="3" t="s">
        <v>20</v>
      </c>
      <c r="I5" s="3" t="s">
        <v>19</v>
      </c>
      <c r="J5" s="3" t="s">
        <v>21</v>
      </c>
      <c r="K5" s="3" t="s">
        <v>22</v>
      </c>
    </row>
    <row r="6" customFormat="false" ht="15.75" hidden="false" customHeight="true" outlineLevel="0" collapsed="false">
      <c r="A6" s="5" t="s">
        <v>34</v>
      </c>
      <c r="B6" s="5" t="s">
        <v>35</v>
      </c>
      <c r="C6" s="6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20</v>
      </c>
      <c r="I6" s="5" t="s">
        <v>19</v>
      </c>
      <c r="J6" s="5" t="s">
        <v>41</v>
      </c>
      <c r="K6" s="5" t="s">
        <v>42</v>
      </c>
    </row>
    <row r="7" customFormat="false" ht="15.75" hidden="false" customHeight="true" outlineLevel="0" collapsed="false">
      <c r="A7" s="3" t="s">
        <v>43</v>
      </c>
      <c r="B7" s="3" t="s">
        <v>44</v>
      </c>
      <c r="C7" s="4" t="s">
        <v>45</v>
      </c>
      <c r="D7" s="3" t="s">
        <v>32</v>
      </c>
      <c r="E7" s="3" t="s">
        <v>33</v>
      </c>
      <c r="F7" s="3" t="s">
        <v>17</v>
      </c>
      <c r="G7" s="3" t="s">
        <v>18</v>
      </c>
      <c r="H7" s="3" t="s">
        <v>39</v>
      </c>
      <c r="I7" s="3" t="s">
        <v>19</v>
      </c>
      <c r="J7" s="3" t="s">
        <v>21</v>
      </c>
      <c r="K7" s="3" t="s">
        <v>28</v>
      </c>
    </row>
    <row r="8" customFormat="false" ht="15.75" hidden="false" customHeight="true" outlineLevel="0" collapsed="false">
      <c r="A8" s="5" t="s">
        <v>46</v>
      </c>
      <c r="B8" s="5" t="s">
        <v>47</v>
      </c>
      <c r="C8" s="6" t="s">
        <v>48</v>
      </c>
      <c r="D8" s="5" t="s">
        <v>15</v>
      </c>
      <c r="E8" s="5" t="s">
        <v>16</v>
      </c>
      <c r="F8" s="5" t="s">
        <v>26</v>
      </c>
      <c r="G8" s="5" t="s">
        <v>40</v>
      </c>
      <c r="H8" s="5" t="s">
        <v>20</v>
      </c>
      <c r="I8" s="5" t="s">
        <v>20</v>
      </c>
      <c r="J8" s="5" t="s">
        <v>49</v>
      </c>
      <c r="K8" s="5" t="s">
        <v>42</v>
      </c>
    </row>
    <row r="9" customFormat="false" ht="15.75" hidden="false" customHeight="true" outlineLevel="0" collapsed="false">
      <c r="A9" s="3" t="s">
        <v>50</v>
      </c>
      <c r="B9" s="3" t="s">
        <v>51</v>
      </c>
      <c r="C9" s="4" t="s">
        <v>52</v>
      </c>
      <c r="D9" s="3" t="s">
        <v>53</v>
      </c>
      <c r="E9" s="3" t="s">
        <v>54</v>
      </c>
      <c r="F9" s="3" t="s">
        <v>26</v>
      </c>
      <c r="G9" s="3" t="s">
        <v>55</v>
      </c>
      <c r="H9" s="3" t="s">
        <v>19</v>
      </c>
      <c r="I9" s="3" t="s">
        <v>39</v>
      </c>
      <c r="J9" s="3" t="s">
        <v>21</v>
      </c>
      <c r="K9" s="3" t="s">
        <v>42</v>
      </c>
    </row>
    <row r="10" customFormat="false" ht="15.75" hidden="false" customHeight="true" outlineLevel="0" collapsed="false">
      <c r="A10" s="5" t="s">
        <v>56</v>
      </c>
      <c r="B10" s="5" t="s">
        <v>30</v>
      </c>
      <c r="C10" s="6" t="s">
        <v>57</v>
      </c>
      <c r="D10" s="5" t="s">
        <v>58</v>
      </c>
      <c r="E10" s="5" t="s">
        <v>59</v>
      </c>
      <c r="F10" s="5" t="s">
        <v>17</v>
      </c>
      <c r="G10" s="5" t="s">
        <v>18</v>
      </c>
      <c r="H10" s="5" t="s">
        <v>20</v>
      </c>
      <c r="I10" s="5" t="s">
        <v>19</v>
      </c>
      <c r="J10" s="5" t="s">
        <v>27</v>
      </c>
      <c r="K10" s="5" t="s">
        <v>28</v>
      </c>
    </row>
    <row r="11" customFormat="false" ht="15.75" hidden="false" customHeight="true" outlineLevel="0" collapsed="false">
      <c r="A11" s="3" t="s">
        <v>60</v>
      </c>
      <c r="B11" s="3" t="s">
        <v>61</v>
      </c>
      <c r="C11" s="4" t="s">
        <v>62</v>
      </c>
      <c r="D11" s="3" t="s">
        <v>58</v>
      </c>
      <c r="E11" s="3" t="s">
        <v>59</v>
      </c>
      <c r="F11" s="3" t="s">
        <v>26</v>
      </c>
      <c r="G11" s="3" t="s">
        <v>18</v>
      </c>
      <c r="H11" s="3" t="s">
        <v>20</v>
      </c>
      <c r="I11" s="3" t="s">
        <v>20</v>
      </c>
      <c r="J11" s="3" t="s">
        <v>21</v>
      </c>
      <c r="K11" s="3" t="s">
        <v>42</v>
      </c>
    </row>
    <row r="12" customFormat="false" ht="15.75" hidden="false" customHeight="true" outlineLevel="0" collapsed="false">
      <c r="A12" s="5" t="s">
        <v>63</v>
      </c>
      <c r="B12" s="5" t="s">
        <v>64</v>
      </c>
      <c r="C12" s="6" t="s">
        <v>57</v>
      </c>
      <c r="D12" s="5" t="s">
        <v>37</v>
      </c>
      <c r="E12" s="5" t="s">
        <v>38</v>
      </c>
      <c r="F12" s="5" t="s">
        <v>39</v>
      </c>
      <c r="G12" s="5" t="s">
        <v>55</v>
      </c>
      <c r="H12" s="5" t="s">
        <v>20</v>
      </c>
      <c r="I12" s="5" t="s">
        <v>39</v>
      </c>
      <c r="J12" s="5" t="s">
        <v>27</v>
      </c>
      <c r="K12" s="5" t="s">
        <v>55</v>
      </c>
    </row>
    <row r="13" customFormat="false" ht="15.75" hidden="false" customHeight="true" outlineLevel="0" collapsed="false">
      <c r="A13" s="3" t="s">
        <v>65</v>
      </c>
      <c r="B13" s="3" t="s">
        <v>66</v>
      </c>
      <c r="C13" s="4" t="s">
        <v>67</v>
      </c>
      <c r="D13" s="3" t="s">
        <v>53</v>
      </c>
      <c r="E13" s="3" t="s">
        <v>54</v>
      </c>
      <c r="F13" s="3" t="s">
        <v>26</v>
      </c>
      <c r="G13" s="3" t="s">
        <v>18</v>
      </c>
      <c r="H13" s="3" t="s">
        <v>20</v>
      </c>
      <c r="I13" s="3" t="s">
        <v>19</v>
      </c>
      <c r="J13" s="3" t="s">
        <v>68</v>
      </c>
      <c r="K13" s="3" t="s">
        <v>22</v>
      </c>
    </row>
    <row r="14" customFormat="false" ht="15.75" hidden="false" customHeight="true" outlineLevel="0" collapsed="false">
      <c r="A14" s="5" t="s">
        <v>69</v>
      </c>
      <c r="B14" s="5" t="s">
        <v>70</v>
      </c>
      <c r="C14" s="6" t="s">
        <v>67</v>
      </c>
      <c r="D14" s="5" t="s">
        <v>58</v>
      </c>
      <c r="E14" s="5" t="s">
        <v>59</v>
      </c>
      <c r="F14" s="5" t="s">
        <v>26</v>
      </c>
      <c r="G14" s="5" t="s">
        <v>18</v>
      </c>
      <c r="H14" s="5" t="s">
        <v>20</v>
      </c>
      <c r="I14" s="5" t="s">
        <v>19</v>
      </c>
      <c r="J14" s="5" t="s">
        <v>68</v>
      </c>
      <c r="K14" s="5" t="s">
        <v>42</v>
      </c>
    </row>
    <row r="15" customFormat="false" ht="15.75" hidden="false" customHeight="true" outlineLevel="0" collapsed="false">
      <c r="A15" s="3" t="s">
        <v>71</v>
      </c>
      <c r="B15" s="3" t="s">
        <v>72</v>
      </c>
      <c r="C15" s="4" t="s">
        <v>25</v>
      </c>
      <c r="D15" s="3" t="s">
        <v>32</v>
      </c>
      <c r="E15" s="3" t="s">
        <v>33</v>
      </c>
      <c r="F15" s="3" t="s">
        <v>26</v>
      </c>
      <c r="G15" s="3" t="s">
        <v>40</v>
      </c>
      <c r="H15" s="3" t="s">
        <v>20</v>
      </c>
      <c r="I15" s="3" t="s">
        <v>39</v>
      </c>
      <c r="J15" s="3" t="s">
        <v>41</v>
      </c>
      <c r="K15" s="3" t="s">
        <v>55</v>
      </c>
    </row>
    <row r="16" customFormat="false" ht="15.75" hidden="false" customHeight="true" outlineLevel="0" collapsed="false">
      <c r="A16" s="5" t="s">
        <v>73</v>
      </c>
      <c r="B16" s="5" t="s">
        <v>24</v>
      </c>
      <c r="C16" s="6" t="s">
        <v>62</v>
      </c>
      <c r="D16" s="5" t="s">
        <v>37</v>
      </c>
      <c r="E16" s="5" t="s">
        <v>38</v>
      </c>
      <c r="F16" s="5" t="s">
        <v>26</v>
      </c>
      <c r="G16" s="5" t="s">
        <v>18</v>
      </c>
      <c r="H16" s="5" t="s">
        <v>20</v>
      </c>
      <c r="I16" s="5" t="s">
        <v>39</v>
      </c>
      <c r="J16" s="5" t="s">
        <v>41</v>
      </c>
      <c r="K16" s="5" t="s">
        <v>28</v>
      </c>
    </row>
    <row r="17" customFormat="false" ht="15.75" hidden="false" customHeight="true" outlineLevel="0" collapsed="false">
      <c r="A17" s="3" t="s">
        <v>74</v>
      </c>
      <c r="B17" s="3" t="s">
        <v>75</v>
      </c>
      <c r="C17" s="4" t="s">
        <v>76</v>
      </c>
      <c r="D17" s="3" t="s">
        <v>37</v>
      </c>
      <c r="E17" s="3" t="s">
        <v>38</v>
      </c>
      <c r="F17" s="3" t="s">
        <v>17</v>
      </c>
      <c r="G17" s="3" t="s">
        <v>18</v>
      </c>
      <c r="H17" s="3" t="s">
        <v>20</v>
      </c>
      <c r="I17" s="3" t="s">
        <v>20</v>
      </c>
      <c r="J17" s="3" t="s">
        <v>68</v>
      </c>
      <c r="K17" s="3" t="s">
        <v>55</v>
      </c>
    </row>
    <row r="18" customFormat="false" ht="15.75" hidden="false" customHeight="true" outlineLevel="0" collapsed="false">
      <c r="A18" s="5" t="s">
        <v>77</v>
      </c>
      <c r="B18" s="5" t="s">
        <v>13</v>
      </c>
      <c r="C18" s="6" t="s">
        <v>78</v>
      </c>
      <c r="D18" s="5" t="s">
        <v>32</v>
      </c>
      <c r="E18" s="5" t="s">
        <v>33</v>
      </c>
      <c r="F18" s="5" t="s">
        <v>26</v>
      </c>
      <c r="G18" s="5" t="s">
        <v>40</v>
      </c>
      <c r="H18" s="5" t="s">
        <v>20</v>
      </c>
      <c r="I18" s="5" t="s">
        <v>19</v>
      </c>
      <c r="J18" s="5" t="s">
        <v>49</v>
      </c>
      <c r="K18" s="5" t="s">
        <v>42</v>
      </c>
    </row>
    <row r="19" customFormat="false" ht="15.75" hidden="false" customHeight="true" outlineLevel="0" collapsed="false">
      <c r="A19" s="3" t="s">
        <v>79</v>
      </c>
      <c r="B19" s="3" t="s">
        <v>35</v>
      </c>
      <c r="C19" s="4" t="s">
        <v>80</v>
      </c>
      <c r="D19" s="3" t="s">
        <v>37</v>
      </c>
      <c r="E19" s="3" t="s">
        <v>38</v>
      </c>
      <c r="F19" s="3" t="s">
        <v>26</v>
      </c>
      <c r="G19" s="3" t="s">
        <v>55</v>
      </c>
      <c r="H19" s="3" t="s">
        <v>19</v>
      </c>
      <c r="I19" s="3" t="s">
        <v>20</v>
      </c>
      <c r="J19" s="3" t="s">
        <v>49</v>
      </c>
      <c r="K19" s="3" t="s">
        <v>55</v>
      </c>
    </row>
    <row r="20" customFormat="false" ht="15.75" hidden="false" customHeight="true" outlineLevel="0" collapsed="false">
      <c r="A20" s="5" t="s">
        <v>81</v>
      </c>
      <c r="B20" s="5" t="s">
        <v>82</v>
      </c>
      <c r="C20" s="6" t="s">
        <v>83</v>
      </c>
      <c r="D20" s="5" t="s">
        <v>15</v>
      </c>
      <c r="E20" s="5" t="s">
        <v>16</v>
      </c>
      <c r="F20" s="5" t="s">
        <v>17</v>
      </c>
      <c r="G20" s="5" t="s">
        <v>40</v>
      </c>
      <c r="H20" s="5" t="s">
        <v>39</v>
      </c>
      <c r="I20" s="5" t="s">
        <v>19</v>
      </c>
      <c r="J20" s="5" t="s">
        <v>68</v>
      </c>
      <c r="K20" s="5" t="s">
        <v>42</v>
      </c>
    </row>
    <row r="21" customFormat="false" ht="15.75" hidden="false" customHeight="true" outlineLevel="0" collapsed="false">
      <c r="A21" s="3" t="s">
        <v>84</v>
      </c>
      <c r="B21" s="3" t="s">
        <v>85</v>
      </c>
      <c r="C21" s="4" t="s">
        <v>80</v>
      </c>
      <c r="D21" s="3" t="s">
        <v>53</v>
      </c>
      <c r="E21" s="3" t="s">
        <v>54</v>
      </c>
      <c r="F21" s="3" t="s">
        <v>26</v>
      </c>
      <c r="G21" s="3" t="s">
        <v>18</v>
      </c>
      <c r="H21" s="3" t="s">
        <v>19</v>
      </c>
      <c r="I21" s="3" t="s">
        <v>20</v>
      </c>
      <c r="J21" s="3" t="s">
        <v>41</v>
      </c>
      <c r="K21" s="3" t="s">
        <v>55</v>
      </c>
    </row>
    <row r="22" customFormat="false" ht="15.75" hidden="false" customHeight="true" outlineLevel="0" collapsed="false">
      <c r="A22" s="5" t="s">
        <v>86</v>
      </c>
      <c r="B22" s="5" t="s">
        <v>87</v>
      </c>
      <c r="C22" s="6" t="s">
        <v>88</v>
      </c>
      <c r="D22" s="5" t="s">
        <v>53</v>
      </c>
      <c r="E22" s="5" t="s">
        <v>54</v>
      </c>
      <c r="F22" s="5" t="s">
        <v>26</v>
      </c>
      <c r="G22" s="5" t="s">
        <v>55</v>
      </c>
      <c r="H22" s="5" t="s">
        <v>19</v>
      </c>
      <c r="I22" s="5" t="s">
        <v>19</v>
      </c>
      <c r="J22" s="5" t="s">
        <v>21</v>
      </c>
      <c r="K22" s="5" t="s">
        <v>42</v>
      </c>
    </row>
    <row r="23" customFormat="false" ht="15.75" hidden="false" customHeight="true" outlineLevel="0" collapsed="false">
      <c r="A23" s="3" t="s">
        <v>89</v>
      </c>
      <c r="B23" s="3" t="s">
        <v>30</v>
      </c>
      <c r="C23" s="4" t="s">
        <v>67</v>
      </c>
      <c r="D23" s="3" t="s">
        <v>15</v>
      </c>
      <c r="E23" s="3" t="s">
        <v>16</v>
      </c>
      <c r="F23" s="3" t="s">
        <v>17</v>
      </c>
      <c r="G23" s="3" t="s">
        <v>18</v>
      </c>
      <c r="H23" s="3" t="s">
        <v>20</v>
      </c>
      <c r="I23" s="3" t="s">
        <v>20</v>
      </c>
      <c r="J23" s="3" t="s">
        <v>21</v>
      </c>
      <c r="K23" s="3" t="s">
        <v>42</v>
      </c>
    </row>
    <row r="24" customFormat="false" ht="15.75" hidden="false" customHeight="true" outlineLevel="0" collapsed="false">
      <c r="A24" s="5" t="s">
        <v>90</v>
      </c>
      <c r="B24" s="5" t="s">
        <v>91</v>
      </c>
      <c r="C24" s="6" t="s">
        <v>67</v>
      </c>
      <c r="D24" s="5" t="s">
        <v>32</v>
      </c>
      <c r="E24" s="5" t="s">
        <v>33</v>
      </c>
      <c r="F24" s="5" t="s">
        <v>26</v>
      </c>
      <c r="G24" s="5" t="s">
        <v>18</v>
      </c>
      <c r="H24" s="5" t="s">
        <v>20</v>
      </c>
      <c r="I24" s="5" t="s">
        <v>39</v>
      </c>
      <c r="J24" s="5" t="s">
        <v>68</v>
      </c>
      <c r="K24" s="5" t="s">
        <v>28</v>
      </c>
    </row>
    <row r="25" customFormat="false" ht="15.75" hidden="false" customHeight="true" outlineLevel="0" collapsed="false">
      <c r="A25" s="3" t="s">
        <v>92</v>
      </c>
      <c r="B25" s="3" t="s">
        <v>70</v>
      </c>
      <c r="C25" s="4" t="s">
        <v>83</v>
      </c>
      <c r="D25" s="3" t="s">
        <v>37</v>
      </c>
      <c r="E25" s="3" t="s">
        <v>38</v>
      </c>
      <c r="F25" s="3" t="s">
        <v>26</v>
      </c>
      <c r="G25" s="3" t="s">
        <v>18</v>
      </c>
      <c r="H25" s="3" t="s">
        <v>20</v>
      </c>
      <c r="I25" s="3" t="s">
        <v>19</v>
      </c>
      <c r="J25" s="3" t="s">
        <v>49</v>
      </c>
      <c r="K25" s="3" t="s">
        <v>22</v>
      </c>
    </row>
    <row r="26" customFormat="false" ht="15.75" hidden="false" customHeight="true" outlineLevel="0" collapsed="false">
      <c r="A26" s="5" t="s">
        <v>93</v>
      </c>
      <c r="B26" s="5" t="s">
        <v>66</v>
      </c>
      <c r="C26" s="6" t="s">
        <v>14</v>
      </c>
      <c r="D26" s="5" t="s">
        <v>32</v>
      </c>
      <c r="E26" s="5" t="s">
        <v>33</v>
      </c>
      <c r="F26" s="5" t="s">
        <v>39</v>
      </c>
      <c r="G26" s="5" t="s">
        <v>18</v>
      </c>
      <c r="H26" s="5" t="s">
        <v>20</v>
      </c>
      <c r="I26" s="5" t="s">
        <v>19</v>
      </c>
      <c r="J26" s="5" t="s">
        <v>21</v>
      </c>
      <c r="K26" s="5" t="s">
        <v>42</v>
      </c>
    </row>
    <row r="27" customFormat="false" ht="15.75" hidden="false" customHeight="true" outlineLevel="0" collapsed="false">
      <c r="A27" s="3" t="s">
        <v>94</v>
      </c>
      <c r="B27" s="3" t="s">
        <v>75</v>
      </c>
      <c r="C27" s="4" t="s">
        <v>95</v>
      </c>
      <c r="D27" s="3" t="s">
        <v>37</v>
      </c>
      <c r="E27" s="3" t="s">
        <v>38</v>
      </c>
      <c r="F27" s="3" t="s">
        <v>26</v>
      </c>
      <c r="G27" s="3" t="s">
        <v>18</v>
      </c>
      <c r="H27" s="3" t="s">
        <v>20</v>
      </c>
      <c r="I27" s="3" t="s">
        <v>39</v>
      </c>
      <c r="J27" s="3" t="s">
        <v>68</v>
      </c>
      <c r="K27" s="3" t="s">
        <v>42</v>
      </c>
    </row>
  </sheetData>
  <mergeCells count="1">
    <mergeCell ref="A1:K1"/>
  </mergeCells>
  <conditionalFormatting sqref="F3:F27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"Incomplete"</formula>
    </cfRule>
    <cfRule type="cellIs" priority="4" operator="equal" aboveAverage="0" equalAverage="0" bottom="0" percent="0" rank="0" text="" dxfId="2">
      <formula>"Pending"</formula>
    </cfRule>
  </conditionalFormatting>
  <conditionalFormatting sqref="G3:G27">
    <cfRule type="cellIs" priority="5" operator="equal" aboveAverage="0" equalAverage="0" bottom="0" percent="0" rank="0" text="" dxfId="0">
      <formula>"Verified"</formula>
    </cfRule>
    <cfRule type="cellIs" priority="6" operator="equal" aboveAverage="0" equalAverage="0" bottom="0" percent="0" rank="0" text="" dxfId="1">
      <formula>"Failed"</formula>
    </cfRule>
    <cfRule type="cellIs" priority="7" operator="equal" aboveAverage="0" equalAverage="0" bottom="0" percent="0" rank="0" text="" dxfId="2">
      <formula>"In Progress"</formula>
    </cfRule>
  </conditionalFormatting>
  <conditionalFormatting sqref="H3:H27">
    <cfRule type="cellIs" priority="8" operator="equal" aboveAverage="0" equalAverage="0" bottom="0" percent="0" rank="0" text="" dxfId="0">
      <formula>"Yes"</formula>
    </cfRule>
    <cfRule type="cellIs" priority="9" operator="equal" aboveAverage="0" equalAverage="0" bottom="0" percent="0" rank="0" text="" dxfId="1">
      <formula>"No"</formula>
    </cfRule>
    <cfRule type="cellIs" priority="10" operator="equal" aboveAverage="0" equalAverage="0" bottom="0" percent="0" rank="0" text="" dxfId="2">
      <formula>"Pending"</formula>
    </cfRule>
  </conditionalFormatting>
  <conditionalFormatting sqref="I3:I27">
    <cfRule type="cellIs" priority="11" operator="equal" aboveAverage="0" equalAverage="0" bottom="0" percent="0" rank="0" text="" dxfId="0">
      <formula>"Yes"</formula>
    </cfRule>
    <cfRule type="cellIs" priority="12" operator="equal" aboveAverage="0" equalAverage="0" bottom="0" percent="0" rank="0" text="" dxfId="1">
      <formula>"No"</formula>
    </cfRule>
    <cfRule type="cellIs" priority="13" operator="equal" aboveAverage="0" equalAverage="0" bottom="0" percent="0" rank="0" text="" dxfId="2">
      <formula>"Pending"</formula>
    </cfRule>
  </conditionalFormatting>
  <conditionalFormatting sqref="K3:K27">
    <cfRule type="cellIs" priority="14" operator="equal" aboveAverage="0" equalAverage="0" bottom="0" percent="0" rank="0" text="" dxfId="0">
      <formula>"Completed"</formula>
    </cfRule>
    <cfRule type="cellIs" priority="15" operator="equal" aboveAverage="0" equalAverage="0" bottom="0" percent="0" rank="0" text="" dxfId="1">
      <formula>"Rejected"</formula>
    </cfRule>
    <cfRule type="cellIs" priority="16" operator="equal" aboveAverage="0" equalAverage="0" bottom="0" percent="0" rank="0" text="" dxfId="2">
      <formula>"In Progress"</formula>
    </cfRule>
    <cfRule type="cellIs" priority="17" operator="equal" aboveAverage="0" equalAverage="0" bottom="0" percent="0" rank="0" text="" dxfId="3">
      <formula>"On Hold"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 t="s">
        <v>3</v>
      </c>
      <c r="C2" s="2" t="s">
        <v>4</v>
      </c>
      <c r="D2" s="2" t="s">
        <v>2</v>
      </c>
      <c r="E2" s="2" t="s">
        <v>97</v>
      </c>
      <c r="F2" s="2" t="s">
        <v>98</v>
      </c>
      <c r="G2" s="2" t="s">
        <v>99</v>
      </c>
      <c r="H2" s="2" t="s">
        <v>100</v>
      </c>
      <c r="I2" s="2" t="s">
        <v>101</v>
      </c>
    </row>
    <row r="3" customFormat="false" ht="15.75" hidden="false" customHeight="true" outlineLevel="0" collapsed="false">
      <c r="A3" s="3" t="s">
        <v>12</v>
      </c>
      <c r="B3" s="4" t="s">
        <v>102</v>
      </c>
      <c r="C3" s="4" t="s">
        <v>53</v>
      </c>
      <c r="D3" s="3" t="s">
        <v>103</v>
      </c>
      <c r="E3" s="3" t="s">
        <v>104</v>
      </c>
      <c r="F3" s="3" t="s">
        <v>13</v>
      </c>
      <c r="G3" s="3" t="n">
        <v>33.6</v>
      </c>
      <c r="H3" s="3" t="s">
        <v>20</v>
      </c>
      <c r="I3" s="4"/>
    </row>
    <row r="4" customFormat="false" ht="15.75" hidden="false" customHeight="true" outlineLevel="0" collapsed="false">
      <c r="A4" s="5" t="s">
        <v>23</v>
      </c>
      <c r="B4" s="6" t="s">
        <v>80</v>
      </c>
      <c r="C4" s="6" t="s">
        <v>32</v>
      </c>
      <c r="D4" s="5" t="s">
        <v>70</v>
      </c>
      <c r="E4" s="5" t="s">
        <v>105</v>
      </c>
      <c r="F4" s="5" t="s">
        <v>106</v>
      </c>
      <c r="G4" s="5" t="n">
        <v>25.4</v>
      </c>
      <c r="H4" s="5" t="s">
        <v>20</v>
      </c>
      <c r="I4" s="6"/>
    </row>
    <row r="5" customFormat="false" ht="15.75" hidden="false" customHeight="true" outlineLevel="0" collapsed="false">
      <c r="A5" s="3" t="s">
        <v>29</v>
      </c>
      <c r="B5" s="4" t="s">
        <v>52</v>
      </c>
      <c r="C5" s="4" t="s">
        <v>53</v>
      </c>
      <c r="D5" s="3" t="s">
        <v>51</v>
      </c>
      <c r="E5" s="3" t="s">
        <v>107</v>
      </c>
      <c r="F5" s="3" t="s">
        <v>75</v>
      </c>
      <c r="G5" s="3" t="n">
        <v>33.8</v>
      </c>
      <c r="H5" s="3" t="s">
        <v>20</v>
      </c>
      <c r="I5" s="4"/>
    </row>
    <row r="6" customFormat="false" ht="15.75" hidden="false" customHeight="true" outlineLevel="0" collapsed="false">
      <c r="A6" s="5" t="s">
        <v>34</v>
      </c>
      <c r="B6" s="6" t="s">
        <v>76</v>
      </c>
      <c r="C6" s="6" t="s">
        <v>37</v>
      </c>
      <c r="D6" s="5" t="s">
        <v>66</v>
      </c>
      <c r="E6" s="5" t="s">
        <v>72</v>
      </c>
      <c r="F6" s="5" t="s">
        <v>108</v>
      </c>
      <c r="G6" s="5" t="n">
        <v>40.3</v>
      </c>
      <c r="H6" s="5" t="s">
        <v>20</v>
      </c>
      <c r="I6" s="6"/>
    </row>
    <row r="7" customFormat="false" ht="15.75" hidden="false" customHeight="true" outlineLevel="0" collapsed="false">
      <c r="A7" s="3" t="s">
        <v>43</v>
      </c>
      <c r="B7" s="4" t="s">
        <v>62</v>
      </c>
      <c r="C7" s="4" t="s">
        <v>58</v>
      </c>
      <c r="D7" s="3" t="s">
        <v>66</v>
      </c>
      <c r="E7" s="3" t="s">
        <v>72</v>
      </c>
      <c r="F7" s="3" t="s">
        <v>108</v>
      </c>
      <c r="G7" s="3" t="n">
        <v>46.5</v>
      </c>
      <c r="H7" s="3" t="s">
        <v>20</v>
      </c>
      <c r="I7" s="4"/>
    </row>
    <row r="8" customFormat="false" ht="15.75" hidden="false" customHeight="true" outlineLevel="0" collapsed="false">
      <c r="A8" s="5" t="s">
        <v>46</v>
      </c>
      <c r="B8" s="6" t="s">
        <v>48</v>
      </c>
      <c r="C8" s="6" t="s">
        <v>37</v>
      </c>
      <c r="D8" s="5" t="s">
        <v>72</v>
      </c>
      <c r="E8" s="5" t="s">
        <v>51</v>
      </c>
      <c r="F8" s="5" t="s">
        <v>72</v>
      </c>
      <c r="G8" s="5" t="n">
        <v>23.2</v>
      </c>
      <c r="H8" s="5" t="s">
        <v>20</v>
      </c>
      <c r="I8" s="6"/>
    </row>
    <row r="9" customFormat="false" ht="15.75" hidden="false" customHeight="true" outlineLevel="0" collapsed="false">
      <c r="A9" s="3" t="s">
        <v>50</v>
      </c>
      <c r="B9" s="4" t="s">
        <v>14</v>
      </c>
      <c r="C9" s="4" t="s">
        <v>32</v>
      </c>
      <c r="D9" s="3" t="s">
        <v>47</v>
      </c>
      <c r="E9" s="3" t="s">
        <v>70</v>
      </c>
      <c r="F9" s="3" t="s">
        <v>70</v>
      </c>
      <c r="G9" s="3" t="n">
        <v>62.7</v>
      </c>
      <c r="H9" s="3" t="s">
        <v>19</v>
      </c>
      <c r="I9" s="4" t="s">
        <v>109</v>
      </c>
    </row>
    <row r="10" customFormat="false" ht="15.75" hidden="false" customHeight="true" outlineLevel="0" collapsed="false">
      <c r="A10" s="5" t="s">
        <v>56</v>
      </c>
      <c r="B10" s="6" t="s">
        <v>36</v>
      </c>
      <c r="C10" s="6" t="s">
        <v>37</v>
      </c>
      <c r="D10" s="5" t="s">
        <v>24</v>
      </c>
      <c r="E10" s="5" t="s">
        <v>85</v>
      </c>
      <c r="F10" s="5" t="s">
        <v>85</v>
      </c>
      <c r="G10" s="5" t="n">
        <v>52</v>
      </c>
      <c r="H10" s="5" t="s">
        <v>19</v>
      </c>
      <c r="I10" s="6" t="s">
        <v>110</v>
      </c>
    </row>
    <row r="11" customFormat="false" ht="15.75" hidden="false" customHeight="true" outlineLevel="0" collapsed="false">
      <c r="A11" s="3" t="s">
        <v>60</v>
      </c>
      <c r="B11" s="4" t="s">
        <v>45</v>
      </c>
      <c r="C11" s="4" t="s">
        <v>53</v>
      </c>
      <c r="D11" s="3" t="s">
        <v>103</v>
      </c>
      <c r="E11" s="3" t="s">
        <v>104</v>
      </c>
      <c r="F11" s="3" t="s">
        <v>103</v>
      </c>
      <c r="G11" s="3" t="n">
        <v>12.6</v>
      </c>
      <c r="H11" s="3" t="s">
        <v>20</v>
      </c>
      <c r="I11" s="4"/>
    </row>
    <row r="12" customFormat="false" ht="15.75" hidden="false" customHeight="true" outlineLevel="0" collapsed="false">
      <c r="A12" s="5" t="s">
        <v>63</v>
      </c>
      <c r="B12" s="6" t="s">
        <v>52</v>
      </c>
      <c r="C12" s="6" t="s">
        <v>53</v>
      </c>
      <c r="D12" s="5" t="s">
        <v>13</v>
      </c>
      <c r="E12" s="5" t="s">
        <v>61</v>
      </c>
      <c r="F12" s="5" t="s">
        <v>13</v>
      </c>
      <c r="G12" s="5" t="n">
        <v>22.6</v>
      </c>
      <c r="H12" s="5" t="s">
        <v>20</v>
      </c>
      <c r="I12" s="6"/>
    </row>
    <row r="13" customFormat="false" ht="15.75" hidden="false" customHeight="true" outlineLevel="0" collapsed="false">
      <c r="A13" s="3" t="s">
        <v>65</v>
      </c>
      <c r="B13" s="4" t="s">
        <v>83</v>
      </c>
      <c r="C13" s="4" t="s">
        <v>15</v>
      </c>
      <c r="D13" s="3" t="s">
        <v>104</v>
      </c>
      <c r="E13" s="3" t="s">
        <v>24</v>
      </c>
      <c r="F13" s="3" t="s">
        <v>61</v>
      </c>
      <c r="G13" s="3" t="n">
        <v>42.2</v>
      </c>
      <c r="H13" s="3" t="s">
        <v>20</v>
      </c>
      <c r="I13" s="4"/>
    </row>
    <row r="14" customFormat="false" ht="15.75" hidden="false" customHeight="true" outlineLevel="0" collapsed="false">
      <c r="A14" s="5" t="s">
        <v>69</v>
      </c>
      <c r="B14" s="6" t="s">
        <v>111</v>
      </c>
      <c r="C14" s="6" t="s">
        <v>15</v>
      </c>
      <c r="D14" s="5" t="s">
        <v>104</v>
      </c>
      <c r="E14" s="5" t="s">
        <v>24</v>
      </c>
      <c r="F14" s="5" t="s">
        <v>24</v>
      </c>
      <c r="G14" s="5" t="n">
        <v>70.6</v>
      </c>
      <c r="H14" s="5" t="s">
        <v>19</v>
      </c>
      <c r="I14" s="6" t="s">
        <v>109</v>
      </c>
    </row>
    <row r="15" customFormat="false" ht="15.75" hidden="false" customHeight="true" outlineLevel="0" collapsed="false">
      <c r="A15" s="3" t="s">
        <v>71</v>
      </c>
      <c r="B15" s="4" t="s">
        <v>83</v>
      </c>
      <c r="C15" s="4" t="s">
        <v>37</v>
      </c>
      <c r="D15" s="3" t="s">
        <v>112</v>
      </c>
      <c r="E15" s="3" t="s">
        <v>75</v>
      </c>
      <c r="F15" s="3" t="s">
        <v>112</v>
      </c>
      <c r="G15" s="3" t="n">
        <v>20</v>
      </c>
      <c r="H15" s="3" t="s">
        <v>20</v>
      </c>
      <c r="I15" s="4"/>
    </row>
    <row r="16" customFormat="false" ht="15.75" hidden="false" customHeight="true" outlineLevel="0" collapsed="false">
      <c r="A16" s="5" t="s">
        <v>73</v>
      </c>
      <c r="B16" s="6" t="s">
        <v>67</v>
      </c>
      <c r="C16" s="6" t="s">
        <v>32</v>
      </c>
      <c r="D16" s="5" t="s">
        <v>47</v>
      </c>
      <c r="E16" s="5" t="s">
        <v>70</v>
      </c>
      <c r="F16" s="5" t="s">
        <v>70</v>
      </c>
      <c r="G16" s="5" t="n">
        <v>68.5</v>
      </c>
      <c r="H16" s="5" t="s">
        <v>19</v>
      </c>
      <c r="I16" s="6" t="s">
        <v>113</v>
      </c>
    </row>
    <row r="17" customFormat="false" ht="15.75" hidden="false" customHeight="true" outlineLevel="0" collapsed="false">
      <c r="A17" s="3" t="s">
        <v>74</v>
      </c>
      <c r="B17" s="4" t="s">
        <v>52</v>
      </c>
      <c r="C17" s="4" t="s">
        <v>37</v>
      </c>
      <c r="D17" s="3" t="s">
        <v>114</v>
      </c>
      <c r="E17" s="3" t="s">
        <v>64</v>
      </c>
      <c r="F17" s="3" t="s">
        <v>114</v>
      </c>
      <c r="G17" s="3" t="n">
        <v>20.6</v>
      </c>
      <c r="H17" s="3" t="s">
        <v>20</v>
      </c>
      <c r="I17" s="4"/>
    </row>
    <row r="18" customFormat="false" ht="15.75" hidden="false" customHeight="true" outlineLevel="0" collapsed="false">
      <c r="A18" s="5" t="s">
        <v>77</v>
      </c>
      <c r="B18" s="6" t="s">
        <v>83</v>
      </c>
      <c r="C18" s="6" t="s">
        <v>58</v>
      </c>
      <c r="D18" s="5" t="s">
        <v>13</v>
      </c>
      <c r="E18" s="5" t="s">
        <v>61</v>
      </c>
      <c r="F18" s="5" t="s">
        <v>61</v>
      </c>
      <c r="G18" s="5" t="n">
        <v>49.2</v>
      </c>
      <c r="H18" s="5" t="s">
        <v>19</v>
      </c>
      <c r="I18" s="6" t="s">
        <v>113</v>
      </c>
    </row>
    <row r="19" customFormat="false" ht="15.75" hidden="false" customHeight="true" outlineLevel="0" collapsed="false">
      <c r="A19" s="3" t="s">
        <v>79</v>
      </c>
      <c r="B19" s="4" t="s">
        <v>25</v>
      </c>
      <c r="C19" s="4" t="s">
        <v>15</v>
      </c>
      <c r="D19" s="3" t="s">
        <v>114</v>
      </c>
      <c r="E19" s="3" t="s">
        <v>64</v>
      </c>
      <c r="F19" s="3" t="s">
        <v>35</v>
      </c>
      <c r="G19" s="3" t="n">
        <v>33.6</v>
      </c>
      <c r="H19" s="3" t="s">
        <v>20</v>
      </c>
      <c r="I19" s="4"/>
    </row>
    <row r="20" customFormat="false" ht="15.75" hidden="false" customHeight="true" outlineLevel="0" collapsed="false">
      <c r="A20" s="5" t="s">
        <v>81</v>
      </c>
      <c r="B20" s="6" t="s">
        <v>88</v>
      </c>
      <c r="C20" s="6" t="s">
        <v>32</v>
      </c>
      <c r="D20" s="5" t="s">
        <v>103</v>
      </c>
      <c r="E20" s="5" t="s">
        <v>104</v>
      </c>
      <c r="F20" s="5" t="s">
        <v>103</v>
      </c>
      <c r="G20" s="5" t="n">
        <v>22.4</v>
      </c>
      <c r="H20" s="5" t="s">
        <v>20</v>
      </c>
      <c r="I20" s="6"/>
    </row>
    <row r="21" customFormat="false" ht="15.75" hidden="false" customHeight="true" outlineLevel="0" collapsed="false">
      <c r="A21" s="3" t="s">
        <v>84</v>
      </c>
      <c r="B21" s="4" t="s">
        <v>62</v>
      </c>
      <c r="C21" s="4" t="s">
        <v>53</v>
      </c>
      <c r="D21" s="3" t="s">
        <v>115</v>
      </c>
      <c r="E21" s="3" t="s">
        <v>106</v>
      </c>
      <c r="F21" s="3" t="s">
        <v>70</v>
      </c>
      <c r="G21" s="3" t="n">
        <v>37.5</v>
      </c>
      <c r="H21" s="3" t="s">
        <v>20</v>
      </c>
      <c r="I21" s="4"/>
    </row>
    <row r="22" customFormat="false" ht="15.75" hidden="false" customHeight="true" outlineLevel="0" collapsed="false">
      <c r="A22" s="5" t="s">
        <v>86</v>
      </c>
      <c r="B22" s="6" t="s">
        <v>116</v>
      </c>
      <c r="C22" s="6" t="s">
        <v>37</v>
      </c>
      <c r="D22" s="5" t="s">
        <v>75</v>
      </c>
      <c r="E22" s="5" t="s">
        <v>117</v>
      </c>
      <c r="F22" s="5" t="s">
        <v>75</v>
      </c>
      <c r="G22" s="5" t="n">
        <v>17.8</v>
      </c>
      <c r="H22" s="5" t="s">
        <v>20</v>
      </c>
      <c r="I22" s="6"/>
    </row>
    <row r="23" customFormat="false" ht="15.75" hidden="false" customHeight="true" outlineLevel="0" collapsed="false">
      <c r="A23" s="3" t="s">
        <v>89</v>
      </c>
      <c r="B23" s="4" t="s">
        <v>118</v>
      </c>
      <c r="C23" s="4" t="s">
        <v>53</v>
      </c>
      <c r="D23" s="3" t="s">
        <v>30</v>
      </c>
      <c r="E23" s="3" t="s">
        <v>115</v>
      </c>
      <c r="F23" s="3" t="s">
        <v>115</v>
      </c>
      <c r="G23" s="3" t="n">
        <v>55.8</v>
      </c>
      <c r="H23" s="3" t="s">
        <v>19</v>
      </c>
      <c r="I23" s="4" t="s">
        <v>113</v>
      </c>
    </row>
    <row r="24" customFormat="false" ht="15.75" hidden="false" customHeight="true" outlineLevel="0" collapsed="false">
      <c r="A24" s="5" t="s">
        <v>90</v>
      </c>
      <c r="B24" s="6" t="s">
        <v>119</v>
      </c>
      <c r="C24" s="6" t="s">
        <v>15</v>
      </c>
      <c r="D24" s="5" t="s">
        <v>44</v>
      </c>
      <c r="E24" s="5" t="s">
        <v>47</v>
      </c>
      <c r="F24" s="5" t="s">
        <v>44</v>
      </c>
      <c r="G24" s="5" t="n">
        <v>16</v>
      </c>
      <c r="H24" s="5" t="s">
        <v>20</v>
      </c>
      <c r="I24" s="6"/>
    </row>
    <row r="25" customFormat="false" ht="15.75" hidden="false" customHeight="true" outlineLevel="0" collapsed="false">
      <c r="A25" s="3" t="s">
        <v>92</v>
      </c>
      <c r="B25" s="4" t="s">
        <v>111</v>
      </c>
      <c r="C25" s="4" t="s">
        <v>15</v>
      </c>
      <c r="D25" s="3" t="s">
        <v>47</v>
      </c>
      <c r="E25" s="3" t="s">
        <v>70</v>
      </c>
      <c r="F25" s="3" t="s">
        <v>70</v>
      </c>
      <c r="G25" s="3" t="n">
        <v>71.4</v>
      </c>
      <c r="H25" s="3" t="s">
        <v>19</v>
      </c>
      <c r="I25" s="4" t="s">
        <v>120</v>
      </c>
    </row>
    <row r="26" customFormat="false" ht="15.75" hidden="false" customHeight="true" outlineLevel="0" collapsed="false">
      <c r="A26" s="5" t="s">
        <v>93</v>
      </c>
      <c r="B26" s="6" t="s">
        <v>78</v>
      </c>
      <c r="C26" s="6" t="s">
        <v>37</v>
      </c>
      <c r="D26" s="5" t="s">
        <v>121</v>
      </c>
      <c r="E26" s="5" t="s">
        <v>66</v>
      </c>
      <c r="F26" s="5" t="s">
        <v>85</v>
      </c>
      <c r="G26" s="5" t="n">
        <v>29.8</v>
      </c>
      <c r="H26" s="5" t="s">
        <v>20</v>
      </c>
      <c r="I26" s="6"/>
    </row>
    <row r="27" customFormat="false" ht="15.75" hidden="false" customHeight="true" outlineLevel="0" collapsed="false">
      <c r="A27" s="3" t="s">
        <v>94</v>
      </c>
      <c r="B27" s="4" t="s">
        <v>102</v>
      </c>
      <c r="C27" s="4" t="s">
        <v>58</v>
      </c>
      <c r="D27" s="3" t="s">
        <v>106</v>
      </c>
      <c r="E27" s="3" t="s">
        <v>87</v>
      </c>
      <c r="F27" s="3" t="s">
        <v>106</v>
      </c>
      <c r="G27" s="3" t="n">
        <v>17.3</v>
      </c>
      <c r="H27" s="3" t="s">
        <v>20</v>
      </c>
      <c r="I27" s="4"/>
    </row>
  </sheetData>
  <mergeCells count="1">
    <mergeCell ref="A1:I1"/>
  </mergeCells>
  <conditionalFormatting sqref="H3:H27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122</v>
      </c>
      <c r="B1" s="1"/>
      <c r="C1" s="1"/>
      <c r="D1" s="1"/>
      <c r="E1" s="1"/>
      <c r="F1" s="1"/>
    </row>
    <row r="3" customFormat="false" ht="15.75" hidden="false" customHeight="true" outlineLevel="0" collapsed="false">
      <c r="A3" s="7" t="s">
        <v>123</v>
      </c>
      <c r="B3" s="8" t="s">
        <v>42</v>
      </c>
      <c r="C3" s="9" t="s">
        <v>55</v>
      </c>
      <c r="D3" s="10" t="s">
        <v>124</v>
      </c>
      <c r="E3" s="7" t="s">
        <v>125</v>
      </c>
      <c r="F3" s="8" t="s">
        <v>126</v>
      </c>
    </row>
    <row r="4" customFormat="false" ht="27.75" hidden="false" customHeight="true" outlineLevel="0" collapsed="false">
      <c r="A4" s="11" t="n">
        <f aca="false">COUNTA('Application Register'!A3:A27)</f>
        <v>25</v>
      </c>
      <c r="B4" s="12" t="n">
        <f aca="false">COUNTIF('Application Register'!K3:K27,"Completed")</f>
        <v>11</v>
      </c>
      <c r="C4" s="13" t="n">
        <f aca="false">COUNTIF('Application Register'!K3:K27,"In Progress")</f>
        <v>5</v>
      </c>
      <c r="D4" s="14" t="n">
        <f aca="false">COUNTIFS('Application Register'!K3:K27,"On Hold")+COUNTIFS('Application Register'!K3:K27,"Rejected")</f>
        <v>9</v>
      </c>
      <c r="E4" s="15" t="n">
        <f aca="false">IFERROR(COUNTIF('SLA Tracker'!H3:H27,"Yes")/COUNTA('SLA Tracker'!H3:H27),0)</f>
        <v>0.72</v>
      </c>
      <c r="F4" s="16" t="n">
        <f aca="false">IFERROR(AVERAGE('SLA Tracker'!G3:G27),0)</f>
        <v>37.016</v>
      </c>
    </row>
    <row r="6" customFormat="false" ht="19.5" hidden="false" customHeight="true" outlineLevel="0" collapsed="false">
      <c r="A6" s="2" t="s">
        <v>4</v>
      </c>
      <c r="B6" s="2" t="s">
        <v>127</v>
      </c>
      <c r="C6" s="2" t="s">
        <v>42</v>
      </c>
      <c r="D6" s="2" t="s">
        <v>128</v>
      </c>
      <c r="E6" s="2" t="s">
        <v>129</v>
      </c>
    </row>
    <row r="7" customFormat="false" ht="15.75" hidden="false" customHeight="true" outlineLevel="0" collapsed="false">
      <c r="A7" s="17" t="s">
        <v>32</v>
      </c>
      <c r="B7" s="18" t="n">
        <f aca="false">COUNTIF('Application Register'!D3:D27,A7)</f>
        <v>6</v>
      </c>
      <c r="C7" s="18" t="n">
        <f aca="false">COUNTIFS('Application Register'!D3:D27,A7,'Application Register'!K3:K27,"Completed")</f>
        <v>2</v>
      </c>
      <c r="D7" s="18" t="n">
        <f aca="false">COUNTIFS('SLA Tracker'!C3:C27,A7,'SLA Tracker'!H3:H27,"Yes")</f>
        <v>2</v>
      </c>
      <c r="E7" s="19" t="n">
        <f aca="false">IFERROR(C7/B7,0)</f>
        <v>0.333333333333333</v>
      </c>
    </row>
    <row r="8" customFormat="false" ht="15.75" hidden="false" customHeight="true" outlineLevel="0" collapsed="false">
      <c r="A8" s="20" t="s">
        <v>15</v>
      </c>
      <c r="B8" s="21" t="n">
        <f aca="false">COUNTIF('Application Register'!D3:D27,A8)</f>
        <v>5</v>
      </c>
      <c r="C8" s="21" t="n">
        <f aca="false">COUNTIFS('Application Register'!D3:D27,A8,'Application Register'!K3:K27,"Completed")</f>
        <v>3</v>
      </c>
      <c r="D8" s="21" t="n">
        <f aca="false">COUNTIFS('SLA Tracker'!C3:C27,A8,'SLA Tracker'!H3:H27,"Yes")</f>
        <v>3</v>
      </c>
      <c r="E8" s="22" t="n">
        <f aca="false">IFERROR(C8/B8,0)</f>
        <v>0.6</v>
      </c>
    </row>
    <row r="9" customFormat="false" ht="15.75" hidden="false" customHeight="true" outlineLevel="0" collapsed="false">
      <c r="A9" s="17" t="s">
        <v>58</v>
      </c>
      <c r="B9" s="18" t="n">
        <f aca="false">COUNTIF('Application Register'!D3:D27,A9)</f>
        <v>3</v>
      </c>
      <c r="C9" s="18" t="n">
        <f aca="false">COUNTIFS('Application Register'!D3:D27,A9,'Application Register'!K3:K27,"Completed")</f>
        <v>2</v>
      </c>
      <c r="D9" s="18" t="n">
        <f aca="false">COUNTIFS('SLA Tracker'!C3:C27,A9,'SLA Tracker'!H3:H27,"Yes")</f>
        <v>2</v>
      </c>
      <c r="E9" s="19" t="n">
        <f aca="false">IFERROR(C9/B9,0)</f>
        <v>0.666666666666667</v>
      </c>
    </row>
    <row r="10" customFormat="false" ht="15.75" hidden="false" customHeight="true" outlineLevel="0" collapsed="false">
      <c r="A10" s="20" t="s">
        <v>37</v>
      </c>
      <c r="B10" s="21" t="n">
        <f aca="false">COUNTIF('Application Register'!D3:D27,A10)</f>
        <v>7</v>
      </c>
      <c r="C10" s="21" t="n">
        <f aca="false">COUNTIFS('Application Register'!D3:D27,A10,'Application Register'!K3:K27,"Completed")</f>
        <v>2</v>
      </c>
      <c r="D10" s="21" t="n">
        <f aca="false">COUNTIFS('SLA Tracker'!C3:C27,A10,'SLA Tracker'!H3:H27,"Yes")</f>
        <v>6</v>
      </c>
      <c r="E10" s="22" t="n">
        <f aca="false">IFERROR(C10/B10,0)</f>
        <v>0.285714285714286</v>
      </c>
    </row>
    <row r="11" customFormat="false" ht="15.75" hidden="false" customHeight="true" outlineLevel="0" collapsed="false">
      <c r="A11" s="17" t="s">
        <v>53</v>
      </c>
      <c r="B11" s="18" t="n">
        <f aca="false">COUNTIF('Application Register'!D3:D27,A11)</f>
        <v>4</v>
      </c>
      <c r="C11" s="18" t="n">
        <f aca="false">COUNTIFS('Application Register'!D3:D27,A11,'Application Register'!K3:K27,"Completed")</f>
        <v>2</v>
      </c>
      <c r="D11" s="18" t="n">
        <f aca="false">COUNTIFS('SLA Tracker'!C3:C27,A11,'SLA Tracker'!H3:H27,"Yes")</f>
        <v>5</v>
      </c>
      <c r="E11" s="19" t="n">
        <f aca="false">IFERROR(C11/B11,0)</f>
        <v>0.5</v>
      </c>
    </row>
    <row r="12" customFormat="false" ht="18" hidden="false" customHeight="true" outlineLevel="0" collapsed="false">
      <c r="A12" s="23" t="s">
        <v>130</v>
      </c>
      <c r="B12" s="24" t="n">
        <f aca="false">SUM(B7:B11)</f>
        <v>25</v>
      </c>
      <c r="C12" s="24" t="n">
        <f aca="false">SUM(C7:C11)</f>
        <v>11</v>
      </c>
      <c r="D12" s="24" t="n">
        <f aca="false">SUM(D7:D11)</f>
        <v>18</v>
      </c>
      <c r="E12" s="25" t="n">
        <f aca="false">IFERROR(C12/B12,0)</f>
        <v>0.44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2026-04-14T05:07:56Z</dcterms:created>
  <dc:creator>openpyxl</dc:creator>
  <dc:description/>
  <dc:language>en-US</dc:language>
  <cp:lastModifiedBy/>
  <dcterms:modified xsi:type="dcterms:W3CDTF">2026-04-14T05:07:56Z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